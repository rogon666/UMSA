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GitHub\UMSA\2026\MLMLG_2026\Excel\"/>
    </mc:Choice>
  </mc:AlternateContent>
  <xr:revisionPtr revIDLastSave="0" documentId="13_ncr:1_{ACC71D5A-72E6-45A5-84C2-134D447E9D73}" xr6:coauthVersionLast="47" xr6:coauthVersionMax="47" xr10:uidLastSave="{00000000-0000-0000-0000-000000000000}"/>
  <bookViews>
    <workbookView xWindow="4455" yWindow="3360" windowWidth="23790" windowHeight="11295" activeTab="1" xr2:uid="{938F6879-023C-4E4E-9600-82FE8D0BE802}"/>
  </bookViews>
  <sheets>
    <sheet name="Sheet1 (2)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2" l="1"/>
  <c r="B14" i="2" s="1"/>
  <c r="B15" i="2" s="1"/>
  <c r="B16" i="2" s="1"/>
  <c r="B17" i="2" s="1"/>
  <c r="B18" i="2" s="1"/>
  <c r="B19" i="2" s="1"/>
  <c r="B20" i="2" s="1"/>
  <c r="B21" i="2" s="1"/>
  <c r="B22" i="2" s="1"/>
  <c r="B23" i="2" s="1"/>
</calcChain>
</file>

<file path=xl/sharedStrings.xml><?xml version="1.0" encoding="utf-8"?>
<sst xmlns="http://schemas.openxmlformats.org/spreadsheetml/2006/main" count="3" uniqueCount="3">
  <si>
    <t>alpha</t>
  </si>
  <si>
    <t>beta</t>
  </si>
  <si>
    <t>beta2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</si>
</sst>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Tipo de Cambio Bs./USD</a:t>
            </a:r>
          </a:p>
        </c:rich>
      </c:tx>
      <c:layout>
        <c:manualLayout>
          <c:xMode val="edge"/>
          <c:yMode val="edge"/>
          <c:x val="9.7270778652668435E-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cat>
            <c:numRef>
              <c:f>'Sheet1 (2)'!$A$1:$A$12</c:f>
              <c:numCache>
                <c:formatCode>General</c:formatCode>
                <c:ptCount val="12"/>
                <c:pt idx="0">
                  <c:v>29</c:v>
                </c:pt>
                <c:pt idx="1">
                  <c:v>30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</c:numCache>
            </c:numRef>
          </c:cat>
          <c:val>
            <c:numRef>
              <c:f>'Sheet1 (2)'!$B$1:$B$12</c:f>
              <c:numCache>
                <c:formatCode>General</c:formatCode>
                <c:ptCount val="12"/>
                <c:pt idx="0">
                  <c:v>9.73</c:v>
                </c:pt>
                <c:pt idx="1">
                  <c:v>9.76</c:v>
                </c:pt>
                <c:pt idx="2">
                  <c:v>9.76</c:v>
                </c:pt>
                <c:pt idx="3">
                  <c:v>9.7799999999999994</c:v>
                </c:pt>
                <c:pt idx="4">
                  <c:v>9.8000000000000007</c:v>
                </c:pt>
                <c:pt idx="5">
                  <c:v>9.83</c:v>
                </c:pt>
                <c:pt idx="6">
                  <c:v>9.83</c:v>
                </c:pt>
                <c:pt idx="7">
                  <c:v>9.83</c:v>
                </c:pt>
                <c:pt idx="8">
                  <c:v>9.89</c:v>
                </c:pt>
                <c:pt idx="9">
                  <c:v>9.9600000000000009</c:v>
                </c:pt>
                <c:pt idx="10">
                  <c:v>10.1</c:v>
                </c:pt>
                <c:pt idx="11">
                  <c:v>10.24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6E-4467-8F32-68B930243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7636591"/>
        <c:axId val="857107279"/>
      </c:barChart>
      <c:barChart>
        <c:barDir val="col"/>
        <c:grouping val="clustered"/>
        <c:varyColors val="0"/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'Sheet1 (2)'!$A$1:$A$12</c:f>
              <c:numCache>
                <c:formatCode>General</c:formatCode>
                <c:ptCount val="12"/>
                <c:pt idx="0">
                  <c:v>29</c:v>
                </c:pt>
                <c:pt idx="1">
                  <c:v>30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</c:numCache>
            </c:numRef>
          </c:cat>
          <c:val>
            <c:numRef>
              <c:f>'Sheet1 (2)'!$C$1:$C$12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1F6E-4467-8F32-68B930243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7639375"/>
        <c:axId val="857090479"/>
      </c:barChart>
      <c:catAx>
        <c:axId val="12876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fecha: Junio/Julio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107279"/>
        <c:crosses val="autoZero"/>
        <c:auto val="1"/>
        <c:lblAlgn val="ctr"/>
        <c:lblOffset val="100"/>
        <c:noMultiLvlLbl val="0"/>
      </c:catAx>
      <c:valAx>
        <c:axId val="85710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bs./Usd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636591"/>
        <c:crosses val="autoZero"/>
        <c:crossBetween val="between"/>
      </c:valAx>
      <c:valAx>
        <c:axId val="857090479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87639375"/>
        <c:crosses val="max"/>
        <c:crossBetween val="between"/>
      </c:valAx>
      <c:catAx>
        <c:axId val="12876393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57090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Tipo de Cambio Bs./USD</a:t>
            </a:r>
          </a:p>
        </c:rich>
      </c:tx>
      <c:layout>
        <c:manualLayout>
          <c:xMode val="edge"/>
          <c:yMode val="edge"/>
          <c:x val="9.7270778652668435E-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69850" cap="rnd" cmpd="sng">
                <a:solidFill>
                  <a:srgbClr val="FF0000"/>
                </a:solidFill>
                <a:prstDash val="solid"/>
              </a:ln>
              <a:effectLst/>
            </c:spPr>
            <c:trendlineType val="poly"/>
            <c:order val="3"/>
            <c:dispRSqr val="0"/>
            <c:dispEq val="0"/>
          </c:trendline>
          <c:cat>
            <c:numRef>
              <c:f>'Sheet1 (2)'!$A$1:$A$12</c:f>
              <c:numCache>
                <c:formatCode>General</c:formatCode>
                <c:ptCount val="12"/>
                <c:pt idx="0">
                  <c:v>29</c:v>
                </c:pt>
                <c:pt idx="1">
                  <c:v>30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</c:numCache>
            </c:numRef>
          </c:cat>
          <c:val>
            <c:numRef>
              <c:f>'Sheet1 (2)'!$B$1:$B$12</c:f>
              <c:numCache>
                <c:formatCode>General</c:formatCode>
                <c:ptCount val="12"/>
                <c:pt idx="0">
                  <c:v>9.73</c:v>
                </c:pt>
                <c:pt idx="1">
                  <c:v>9.76</c:v>
                </c:pt>
                <c:pt idx="2">
                  <c:v>9.76</c:v>
                </c:pt>
                <c:pt idx="3">
                  <c:v>9.7799999999999994</c:v>
                </c:pt>
                <c:pt idx="4">
                  <c:v>9.8000000000000007</c:v>
                </c:pt>
                <c:pt idx="5">
                  <c:v>9.83</c:v>
                </c:pt>
                <c:pt idx="6">
                  <c:v>9.83</c:v>
                </c:pt>
                <c:pt idx="7">
                  <c:v>9.83</c:v>
                </c:pt>
                <c:pt idx="8">
                  <c:v>9.89</c:v>
                </c:pt>
                <c:pt idx="9">
                  <c:v>9.9600000000000009</c:v>
                </c:pt>
                <c:pt idx="10">
                  <c:v>10.1</c:v>
                </c:pt>
                <c:pt idx="11">
                  <c:v>10.24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49-4D36-8A4C-CE492EC8C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9"/>
        <c:overlap val="-27"/>
        <c:axId val="1287636591"/>
        <c:axId val="857107279"/>
      </c:barChart>
      <c:barChart>
        <c:barDir val="col"/>
        <c:grouping val="clustered"/>
        <c:varyColors val="0"/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'Sheet1 (2)'!$A$1:$A$12</c:f>
              <c:numCache>
                <c:formatCode>General</c:formatCode>
                <c:ptCount val="12"/>
                <c:pt idx="0">
                  <c:v>29</c:v>
                </c:pt>
                <c:pt idx="1">
                  <c:v>30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</c:numCache>
            </c:numRef>
          </c:cat>
          <c:val>
            <c:numRef>
              <c:f>'Sheet1 (2)'!$C$1:$C$12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3B49-4D36-8A4C-CE492EC8C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7639375"/>
        <c:axId val="857090479"/>
      </c:barChart>
      <c:catAx>
        <c:axId val="12876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fecha: Junio/Julio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107279"/>
        <c:crosses val="autoZero"/>
        <c:auto val="1"/>
        <c:lblAlgn val="ctr"/>
        <c:lblOffset val="100"/>
        <c:noMultiLvlLbl val="0"/>
      </c:catAx>
      <c:valAx>
        <c:axId val="85710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bs./Usd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636591"/>
        <c:crosses val="autoZero"/>
        <c:crossBetween val="between"/>
      </c:valAx>
      <c:valAx>
        <c:axId val="857090479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87639375"/>
        <c:crosses val="max"/>
        <c:crossBetween val="between"/>
      </c:valAx>
      <c:catAx>
        <c:axId val="12876393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57090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'Sheet1 (2)'!$B$1:$B$23</c:f>
              <c:numCache>
                <c:formatCode>General</c:formatCode>
                <c:ptCount val="23"/>
                <c:pt idx="0">
                  <c:v>9.73</c:v>
                </c:pt>
                <c:pt idx="1">
                  <c:v>9.76</c:v>
                </c:pt>
                <c:pt idx="2">
                  <c:v>9.76</c:v>
                </c:pt>
                <c:pt idx="3">
                  <c:v>9.7799999999999994</c:v>
                </c:pt>
                <c:pt idx="4">
                  <c:v>9.8000000000000007</c:v>
                </c:pt>
                <c:pt idx="5">
                  <c:v>9.83</c:v>
                </c:pt>
                <c:pt idx="6">
                  <c:v>9.83</c:v>
                </c:pt>
                <c:pt idx="7">
                  <c:v>9.83</c:v>
                </c:pt>
                <c:pt idx="8">
                  <c:v>9.89</c:v>
                </c:pt>
                <c:pt idx="9">
                  <c:v>9.9600000000000009</c:v>
                </c:pt>
                <c:pt idx="10">
                  <c:v>10.1</c:v>
                </c:pt>
                <c:pt idx="11">
                  <c:v>10.24</c:v>
                </c:pt>
                <c:pt idx="12" formatCode="0.00">
                  <c:v>10.180999999999999</c:v>
                </c:pt>
                <c:pt idx="13" formatCode="0.00">
                  <c:v>10.3545</c:v>
                </c:pt>
                <c:pt idx="14" formatCode="0.00">
                  <c:v>10.43675</c:v>
                </c:pt>
                <c:pt idx="15" formatCode="0.00">
                  <c:v>10.591624999999999</c:v>
                </c:pt>
                <c:pt idx="16" formatCode="0.00">
                  <c:v>10.739187499999998</c:v>
                </c:pt>
                <c:pt idx="17" formatCode="0.00">
                  <c:v>10.921406249999999</c:v>
                </c:pt>
                <c:pt idx="18" formatCode="0.00">
                  <c:v>11.119296874999998</c:v>
                </c:pt>
                <c:pt idx="19" formatCode="0.00">
                  <c:v>11.344351562499998</c:v>
                </c:pt>
                <c:pt idx="20" formatCode="0.00">
                  <c:v>11.59282421875</c:v>
                </c:pt>
                <c:pt idx="21" formatCode="0.00">
                  <c:v>11.868587890624999</c:v>
                </c:pt>
                <c:pt idx="22" formatCode="0.00">
                  <c:v>12.171706054687499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7-4B73-BC57-026C3B82F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9072687"/>
        <c:axId val="788107727"/>
      </c:lineChart>
      <c:catAx>
        <c:axId val="14390726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107727"/>
        <c:crosses val="autoZero"/>
        <c:auto val="1"/>
        <c:lblAlgn val="ctr"/>
        <c:lblOffset val="100"/>
        <c:noMultiLvlLbl val="0"/>
      </c:catAx>
      <c:valAx>
        <c:axId val="788107727"/>
        <c:scaling>
          <c:orientation val="minMax"/>
          <c:min val="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9072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Tipo de Cambio Bs./USD</a:t>
            </a:r>
          </a:p>
        </c:rich>
      </c:tx>
      <c:layout>
        <c:manualLayout>
          <c:xMode val="edge"/>
          <c:yMode val="edge"/>
          <c:x val="9.7270778652668435E-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cat>
            <c:numRef>
              <c:f>Sheet1!$A$1:$A$12</c:f>
              <c:numCache>
                <c:formatCode>General</c:formatCode>
                <c:ptCount val="12"/>
                <c:pt idx="0">
                  <c:v>29</c:v>
                </c:pt>
                <c:pt idx="1">
                  <c:v>30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</c:numCache>
            </c:numRef>
          </c:cat>
          <c:val>
            <c:numRef>
              <c:f>Sheet1!$B$1:$B$12</c:f>
              <c:numCache>
                <c:formatCode>General</c:formatCode>
                <c:ptCount val="12"/>
                <c:pt idx="0">
                  <c:v>9.73</c:v>
                </c:pt>
                <c:pt idx="1">
                  <c:v>9.76</c:v>
                </c:pt>
                <c:pt idx="2">
                  <c:v>9.76</c:v>
                </c:pt>
                <c:pt idx="3">
                  <c:v>9.7799999999999994</c:v>
                </c:pt>
                <c:pt idx="4">
                  <c:v>9.8000000000000007</c:v>
                </c:pt>
                <c:pt idx="5">
                  <c:v>9.83</c:v>
                </c:pt>
                <c:pt idx="6">
                  <c:v>9.83</c:v>
                </c:pt>
                <c:pt idx="7">
                  <c:v>9.83</c:v>
                </c:pt>
                <c:pt idx="8">
                  <c:v>9.89</c:v>
                </c:pt>
                <c:pt idx="9">
                  <c:v>9.9600000000000009</c:v>
                </c:pt>
                <c:pt idx="10">
                  <c:v>10.1</c:v>
                </c:pt>
                <c:pt idx="11">
                  <c:v>10.24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E-48CE-85BA-71DBC41B1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7636591"/>
        <c:axId val="857107279"/>
      </c:barChart>
      <c:barChart>
        <c:barDir val="col"/>
        <c:grouping val="clustered"/>
        <c:varyColors val="0"/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Sheet1!$A$1:$A$12</c:f>
              <c:numCache>
                <c:formatCode>General</c:formatCode>
                <c:ptCount val="12"/>
                <c:pt idx="0">
                  <c:v>29</c:v>
                </c:pt>
                <c:pt idx="1">
                  <c:v>30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</c:numCache>
            </c:numRef>
          </c:cat>
          <c:val>
            <c:numRef>
              <c:f>Sheet1!$C$1:$C$12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3-7BCE-48CE-85BA-71DBC41B1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7639375"/>
        <c:axId val="857090479"/>
      </c:barChart>
      <c:catAx>
        <c:axId val="12876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fecha: Junio/Julio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107279"/>
        <c:crosses val="autoZero"/>
        <c:auto val="1"/>
        <c:lblAlgn val="ctr"/>
        <c:lblOffset val="100"/>
        <c:noMultiLvlLbl val="0"/>
      </c:catAx>
      <c:valAx>
        <c:axId val="85710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bs./Usd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636591"/>
        <c:crosses val="autoZero"/>
        <c:crossBetween val="between"/>
      </c:valAx>
      <c:valAx>
        <c:axId val="857090479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87639375"/>
        <c:crosses val="max"/>
        <c:crossBetween val="between"/>
      </c:valAx>
      <c:catAx>
        <c:axId val="12876393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57090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Tipo de Cambio Bs./USD</a:t>
            </a:r>
          </a:p>
        </c:rich>
      </c:tx>
      <c:layout>
        <c:manualLayout>
          <c:xMode val="edge"/>
          <c:yMode val="edge"/>
          <c:x val="9.7270778652668435E-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69850" cap="rnd" cmpd="sng">
                <a:solidFill>
                  <a:srgbClr val="FF0000"/>
                </a:solidFill>
                <a:prstDash val="solid"/>
              </a:ln>
              <a:effectLst/>
            </c:spPr>
            <c:trendlineType val="poly"/>
            <c:order val="3"/>
            <c:dispRSqr val="0"/>
            <c:dispEq val="0"/>
          </c:trendline>
          <c:cat>
            <c:numRef>
              <c:f>Sheet1!$A$1:$A$12</c:f>
              <c:numCache>
                <c:formatCode>General</c:formatCode>
                <c:ptCount val="12"/>
                <c:pt idx="0">
                  <c:v>29</c:v>
                </c:pt>
                <c:pt idx="1">
                  <c:v>30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</c:numCache>
            </c:numRef>
          </c:cat>
          <c:val>
            <c:numRef>
              <c:f>Sheet1!$B$1:$B$12</c:f>
              <c:numCache>
                <c:formatCode>General</c:formatCode>
                <c:ptCount val="12"/>
                <c:pt idx="0">
                  <c:v>9.73</c:v>
                </c:pt>
                <c:pt idx="1">
                  <c:v>9.76</c:v>
                </c:pt>
                <c:pt idx="2">
                  <c:v>9.76</c:v>
                </c:pt>
                <c:pt idx="3">
                  <c:v>9.7799999999999994</c:v>
                </c:pt>
                <c:pt idx="4">
                  <c:v>9.8000000000000007</c:v>
                </c:pt>
                <c:pt idx="5">
                  <c:v>9.83</c:v>
                </c:pt>
                <c:pt idx="6">
                  <c:v>9.83</c:v>
                </c:pt>
                <c:pt idx="7">
                  <c:v>9.83</c:v>
                </c:pt>
                <c:pt idx="8">
                  <c:v>9.89</c:v>
                </c:pt>
                <c:pt idx="9">
                  <c:v>9.9600000000000009</c:v>
                </c:pt>
                <c:pt idx="10">
                  <c:v>10.1</c:v>
                </c:pt>
                <c:pt idx="11">
                  <c:v>10.24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98-4D4D-B81B-5F9E8B160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9"/>
        <c:overlap val="-27"/>
        <c:axId val="1287636591"/>
        <c:axId val="857107279"/>
      </c:barChart>
      <c:barChart>
        <c:barDir val="col"/>
        <c:grouping val="clustered"/>
        <c:varyColors val="0"/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Sheet1!$A$1:$A$12</c:f>
              <c:numCache>
                <c:formatCode>General</c:formatCode>
                <c:ptCount val="12"/>
                <c:pt idx="0">
                  <c:v>29</c:v>
                </c:pt>
                <c:pt idx="1">
                  <c:v>30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</c:numCache>
            </c:numRef>
          </c:cat>
          <c:val>
            <c:numRef>
              <c:f>Sheet1!$C$1:$C$12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E498-4D4D-B81B-5F9E8B160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7639375"/>
        <c:axId val="857090479"/>
      </c:barChart>
      <c:catAx>
        <c:axId val="12876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fecha: Junio/Julio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107279"/>
        <c:crosses val="autoZero"/>
        <c:auto val="1"/>
        <c:lblAlgn val="ctr"/>
        <c:lblOffset val="100"/>
        <c:noMultiLvlLbl val="0"/>
      </c:catAx>
      <c:valAx>
        <c:axId val="85710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bs./Usd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636591"/>
        <c:crosses val="autoZero"/>
        <c:crossBetween val="between"/>
      </c:valAx>
      <c:valAx>
        <c:axId val="857090479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87639375"/>
        <c:crosses val="max"/>
        <c:crossBetween val="between"/>
      </c:valAx>
      <c:catAx>
        <c:axId val="12876393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57090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Sheet1!$B$1:$B$23</c:f>
              <c:numCache>
                <c:formatCode>General</c:formatCode>
                <c:ptCount val="23"/>
                <c:pt idx="0">
                  <c:v>9.73</c:v>
                </c:pt>
                <c:pt idx="1">
                  <c:v>9.76</c:v>
                </c:pt>
                <c:pt idx="2">
                  <c:v>9.76</c:v>
                </c:pt>
                <c:pt idx="3">
                  <c:v>9.7799999999999994</c:v>
                </c:pt>
                <c:pt idx="4">
                  <c:v>9.8000000000000007</c:v>
                </c:pt>
                <c:pt idx="5">
                  <c:v>9.83</c:v>
                </c:pt>
                <c:pt idx="6">
                  <c:v>9.83</c:v>
                </c:pt>
                <c:pt idx="7">
                  <c:v>9.83</c:v>
                </c:pt>
                <c:pt idx="8">
                  <c:v>9.89</c:v>
                </c:pt>
                <c:pt idx="9">
                  <c:v>9.9600000000000009</c:v>
                </c:pt>
                <c:pt idx="10">
                  <c:v>10.1</c:v>
                </c:pt>
                <c:pt idx="11">
                  <c:v>10.24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2E-40B9-B937-B7E847E72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9072687"/>
        <c:axId val="788107727"/>
      </c:lineChart>
      <c:catAx>
        <c:axId val="14390726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107727"/>
        <c:crosses val="autoZero"/>
        <c:auto val="1"/>
        <c:lblAlgn val="ctr"/>
        <c:lblOffset val="100"/>
        <c:noMultiLvlLbl val="0"/>
      </c:catAx>
      <c:valAx>
        <c:axId val="788107727"/>
        <c:scaling>
          <c:orientation val="minMax"/>
          <c:min val="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9072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161923</xdr:colOff>
      <xdr:row>1</xdr:row>
      <xdr:rowOff>90487</xdr:rowOff>
    </xdr:from>
    <xdr:to>
      <xdr:col>17</xdr:col>
      <xdr:colOff>104774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920256-8D0E-4E78-A279-20BDBA889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247650</xdr:colOff>
      <xdr:row>23</xdr:row>
      <xdr:rowOff>57150</xdr:rowOff>
    </xdr:from>
    <xdr:to>
      <xdr:col>15</xdr:col>
      <xdr:colOff>466725</xdr:colOff>
      <xdr:row>39</xdr:row>
      <xdr:rowOff>119063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1D4DF8-A0C1-4A63-9775-BABE9F5C9C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85725</xdr:colOff>
      <xdr:row>12</xdr:row>
      <xdr:rowOff>42862</xdr:rowOff>
    </xdr:from>
    <xdr:to>
      <xdr:col>13</xdr:col>
      <xdr:colOff>390525</xdr:colOff>
      <xdr:row>26</xdr:row>
      <xdr:rowOff>119062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7C1EB1-F433-4B39-B4E0-56EF00909A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161923</xdr:colOff>
      <xdr:row>1</xdr:row>
      <xdr:rowOff>90487</xdr:rowOff>
    </xdr:from>
    <xdr:to>
      <xdr:col>17</xdr:col>
      <xdr:colOff>104774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B39380-9119-95D4-B1D9-BE36227DB7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247650</xdr:colOff>
      <xdr:row>23</xdr:row>
      <xdr:rowOff>57150</xdr:rowOff>
    </xdr:from>
    <xdr:to>
      <xdr:col>15</xdr:col>
      <xdr:colOff>466725</xdr:colOff>
      <xdr:row>39</xdr:row>
      <xdr:rowOff>119063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944939-61F3-454E-AF2B-050C46776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523875</xdr:colOff>
      <xdr:row>10</xdr:row>
      <xdr:rowOff>128587</xdr:rowOff>
    </xdr:from>
    <xdr:to>
      <xdr:col>10</xdr:col>
      <xdr:colOff>219075</xdr:colOff>
      <xdr:row>25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A80659-5B1C-1484-6F26-0CAE0C575A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3E00-44E4-41BC-A430-D262CB9EEB16}">
  <dimension ref="A1:E23"/>
  <sheetViews>
    <sheetView topLeftCell="A7" workbookViewId="0">
      <selection activeCell="E14" sqref="E14"/>
    </sheetView>
  </sheetViews>
  <sheetFormatPr defaultRowHeight="15" x14ac:dyDescent="0.25"/>
  <sheetData>
    <row r="1" spans="1:5" x14ac:dyDescent="0.25">
      <c r="A1">
        <v>29</v>
      </c>
      <c r="B1">
        <v>9.73</v>
      </c>
    </row>
    <row r="2" spans="1:5" x14ac:dyDescent="0.25">
      <c r="A2">
        <v>30</v>
      </c>
      <c r="B2">
        <v>9.76</v>
      </c>
    </row>
    <row r="3" spans="1:5" x14ac:dyDescent="0.25">
      <c r="A3">
        <v>1</v>
      </c>
      <c r="B3">
        <v>9.76</v>
      </c>
    </row>
    <row r="4" spans="1:5" x14ac:dyDescent="0.25">
      <c r="A4">
        <v>2</v>
      </c>
      <c r="B4">
        <v>9.7799999999999994</v>
      </c>
    </row>
    <row r="5" spans="1:5" x14ac:dyDescent="0.25">
      <c r="A5">
        <v>3</v>
      </c>
      <c r="B5">
        <v>9.8000000000000007</v>
      </c>
    </row>
    <row r="6" spans="1:5" x14ac:dyDescent="0.25">
      <c r="A6">
        <v>4</v>
      </c>
      <c r="B6">
        <v>9.83</v>
      </c>
    </row>
    <row r="7" spans="1:5" x14ac:dyDescent="0.25">
      <c r="A7">
        <v>5</v>
      </c>
      <c r="B7">
        <v>9.83</v>
      </c>
    </row>
    <row r="8" spans="1:5" x14ac:dyDescent="0.25">
      <c r="A8">
        <v>6</v>
      </c>
      <c r="B8">
        <v>9.83</v>
      </c>
    </row>
    <row r="9" spans="1:5" x14ac:dyDescent="0.25">
      <c r="A9">
        <v>7</v>
      </c>
      <c r="B9">
        <v>9.89</v>
      </c>
    </row>
    <row r="10" spans="1:5" x14ac:dyDescent="0.25">
      <c r="A10">
        <v>8</v>
      </c>
      <c r="B10">
        <v>9.9600000000000009</v>
      </c>
    </row>
    <row r="11" spans="1:5" x14ac:dyDescent="0.25">
      <c r="A11">
        <v>9</v>
      </c>
      <c r="B11">
        <v>10.1</v>
      </c>
      <c r="D11" t="s">
        <v>0</v>
      </c>
      <c r="E11">
        <v>0.5</v>
      </c>
    </row>
    <row r="12" spans="1:5" x14ac:dyDescent="0.25">
      <c r="A12">
        <v>10</v>
      </c>
      <c r="B12">
        <v>10.24</v>
      </c>
      <c r="D12" t="s">
        <v>1</v>
      </c>
      <c r="E12">
        <v>1E-3</v>
      </c>
    </row>
    <row r="13" spans="1:5" x14ac:dyDescent="0.25">
      <c r="A13">
        <v>11</v>
      </c>
      <c r="B13" s="1">
        <f>+$E$11*B12+(1-$E$11)*B11+$E$12*A13 + $E$13*A13^2</f>
        <v>10.180999999999999</v>
      </c>
      <c r="D13" t="s">
        <v>2</v>
      </c>
      <c r="E13">
        <v>0</v>
      </c>
    </row>
    <row r="14" spans="1:5" x14ac:dyDescent="0.25">
      <c r="A14">
        <v>12</v>
      </c>
      <c r="B14" s="1">
        <f t="shared" ref="B14:B23" si="0">+$E$11*B13+(1-$E$11)*B12+$E$12*A14^2</f>
        <v>10.3545</v>
      </c>
    </row>
    <row r="15" spans="1:5" x14ac:dyDescent="0.25">
      <c r="A15">
        <v>13</v>
      </c>
      <c r="B15" s="1">
        <f t="shared" si="0"/>
        <v>10.43675</v>
      </c>
    </row>
    <row r="16" spans="1:5" x14ac:dyDescent="0.25">
      <c r="A16">
        <v>14</v>
      </c>
      <c r="B16" s="1">
        <f t="shared" si="0"/>
        <v>10.591624999999999</v>
      </c>
    </row>
    <row r="17" spans="1:2" x14ac:dyDescent="0.25">
      <c r="A17">
        <v>15</v>
      </c>
      <c r="B17" s="1">
        <f t="shared" si="0"/>
        <v>10.739187499999998</v>
      </c>
    </row>
    <row r="18" spans="1:2" x14ac:dyDescent="0.25">
      <c r="A18">
        <v>16</v>
      </c>
      <c r="B18" s="1">
        <f t="shared" si="0"/>
        <v>10.921406249999999</v>
      </c>
    </row>
    <row r="19" spans="1:2" x14ac:dyDescent="0.25">
      <c r="A19">
        <v>17</v>
      </c>
      <c r="B19" s="1">
        <f t="shared" si="0"/>
        <v>11.119296874999998</v>
      </c>
    </row>
    <row r="20" spans="1:2" x14ac:dyDescent="0.25">
      <c r="A20">
        <v>18</v>
      </c>
      <c r="B20" s="1">
        <f t="shared" si="0"/>
        <v>11.344351562499998</v>
      </c>
    </row>
    <row r="21" spans="1:2" x14ac:dyDescent="0.25">
      <c r="A21">
        <v>19</v>
      </c>
      <c r="B21" s="1">
        <f t="shared" si="0"/>
        <v>11.59282421875</v>
      </c>
    </row>
    <row r="22" spans="1:2" x14ac:dyDescent="0.25">
      <c r="A22">
        <v>20</v>
      </c>
      <c r="B22" s="1">
        <f t="shared" si="0"/>
        <v>11.868587890624999</v>
      </c>
    </row>
    <row r="23" spans="1:2" x14ac:dyDescent="0.25">
      <c r="A23">
        <v>21</v>
      </c>
      <c r="B23" s="1">
        <f t="shared" si="0"/>
        <v>12.171706054687499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626DC-9AAF-4056-9EB3-38A44143CD99}">
  <dimension ref="A1:B23"/>
  <sheetViews>
    <sheetView tabSelected="1" topLeftCell="A7" workbookViewId="0">
      <selection activeCell="B12" sqref="B12"/>
    </sheetView>
  </sheetViews>
  <sheetFormatPr defaultRowHeight="15" x14ac:dyDescent="0.25"/>
  <sheetData>
    <row r="1" spans="1:2" x14ac:dyDescent="0.25">
      <c r="A1">
        <v>29</v>
      </c>
      <c r="B1">
        <v>9.73</v>
      </c>
    </row>
    <row r="2" spans="1:2" x14ac:dyDescent="0.25">
      <c r="A2">
        <v>30</v>
      </c>
      <c r="B2">
        <v>9.76</v>
      </c>
    </row>
    <row r="3" spans="1:2" x14ac:dyDescent="0.25">
      <c r="A3">
        <v>1</v>
      </c>
      <c r="B3">
        <v>9.76</v>
      </c>
    </row>
    <row r="4" spans="1:2" x14ac:dyDescent="0.25">
      <c r="A4">
        <v>2</v>
      </c>
      <c r="B4">
        <v>9.7799999999999994</v>
      </c>
    </row>
    <row r="5" spans="1:2" x14ac:dyDescent="0.25">
      <c r="A5">
        <v>3</v>
      </c>
      <c r="B5">
        <v>9.8000000000000007</v>
      </c>
    </row>
    <row r="6" spans="1:2" x14ac:dyDescent="0.25">
      <c r="A6">
        <v>4</v>
      </c>
      <c r="B6">
        <v>9.83</v>
      </c>
    </row>
    <row r="7" spans="1:2" x14ac:dyDescent="0.25">
      <c r="A7">
        <v>5</v>
      </c>
      <c r="B7">
        <v>9.83</v>
      </c>
    </row>
    <row r="8" spans="1:2" x14ac:dyDescent="0.25">
      <c r="A8">
        <v>6</v>
      </c>
      <c r="B8">
        <v>9.83</v>
      </c>
    </row>
    <row r="9" spans="1:2" x14ac:dyDescent="0.25">
      <c r="A9">
        <v>7</v>
      </c>
      <c r="B9">
        <v>9.89</v>
      </c>
    </row>
    <row r="10" spans="1:2" x14ac:dyDescent="0.25">
      <c r="A10">
        <v>8</v>
      </c>
      <c r="B10">
        <v>9.9600000000000009</v>
      </c>
    </row>
    <row r="11" spans="1:2" x14ac:dyDescent="0.25">
      <c r="A11">
        <v>9</v>
      </c>
      <c r="B11">
        <v>10.1</v>
      </c>
    </row>
    <row r="12" spans="1:2" x14ac:dyDescent="0.25">
      <c r="A12">
        <v>10</v>
      </c>
      <c r="B12">
        <v>10.24</v>
      </c>
    </row>
    <row r="13" spans="1:2" x14ac:dyDescent="0.25">
      <c r="A13">
        <v>11</v>
      </c>
      <c r="B13" s="1"/>
    </row>
    <row r="14" spans="1:2" x14ac:dyDescent="0.25">
      <c r="A14">
        <v>12</v>
      </c>
      <c r="B14" s="1"/>
    </row>
    <row r="15" spans="1:2" x14ac:dyDescent="0.25">
      <c r="A15">
        <v>13</v>
      </c>
      <c r="B15" s="1"/>
    </row>
    <row r="16" spans="1:2" x14ac:dyDescent="0.25">
      <c r="A16">
        <v>14</v>
      </c>
      <c r="B16" s="1"/>
    </row>
    <row r="17" spans="1:2" x14ac:dyDescent="0.25">
      <c r="A17">
        <v>15</v>
      </c>
      <c r="B17" s="1"/>
    </row>
    <row r="18" spans="1:2" x14ac:dyDescent="0.25">
      <c r="A18">
        <v>16</v>
      </c>
      <c r="B18" s="1"/>
    </row>
    <row r="19" spans="1:2" x14ac:dyDescent="0.25">
      <c r="A19">
        <v>17</v>
      </c>
      <c r="B19" s="1"/>
    </row>
    <row r="20" spans="1:2" x14ac:dyDescent="0.25">
      <c r="A20">
        <v>18</v>
      </c>
      <c r="B20" s="1"/>
    </row>
    <row r="21" spans="1:2" x14ac:dyDescent="0.25">
      <c r="A21">
        <v>19</v>
      </c>
      <c r="B21" s="1"/>
    </row>
    <row r="22" spans="1:2" x14ac:dyDescent="0.25">
      <c r="A22">
        <v>20</v>
      </c>
      <c r="B22" s="1"/>
    </row>
    <row r="23" spans="1:2" x14ac:dyDescent="0.25">
      <c r="A23">
        <v>21</v>
      </c>
      <c r="B23" s="1"/>
    </row>
  </sheetData>
  <sortState xmlns:xlrd2="http://schemas.microsoft.com/office/spreadsheetml/2017/richdata2" ref="A3:B12">
    <sortCondition ref="A3:A1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R.M. Gonzales Martinez</dc:creator>
  <cp:lastModifiedBy>R.M. Gonzales Martinez</cp:lastModifiedBy>
  <dcterms:created xsi:type="dcterms:W3CDTF">2026-07-11T10:54:34Z</dcterms:created>
  <dcterms:modified xsi:type="dcterms:W3CDTF">2026-07-11T11:20:57Z</dcterms:modified>
</cp:coreProperties>
</file>